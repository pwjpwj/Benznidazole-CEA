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Philip\Documents\GitHub\Benznidazole-CEA\"/>
    </mc:Choice>
  </mc:AlternateContent>
  <xr:revisionPtr revIDLastSave="0" documentId="13_ncr:1_{5A2AFFF5-B898-40E3-9931-B7B70E562A18}" xr6:coauthVersionLast="47" xr6:coauthVersionMax="47" xr10:uidLastSave="{00000000-0000-0000-0000-000000000000}"/>
  <bookViews>
    <workbookView xWindow="17115" yWindow="0" windowWidth="17325" windowHeight="20895" activeTab="1" xr2:uid="{00000000-000D-0000-FFFF-FFFF00000000}"/>
  </bookViews>
  <sheets>
    <sheet name="Hoja 1" sheetId="1" r:id="rId1"/>
    <sheet name="Hoja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2" l="1"/>
  <c r="F27" i="2"/>
  <c r="F26" i="2"/>
  <c r="F25" i="2"/>
  <c r="F24" i="2"/>
  <c r="H28" i="2"/>
  <c r="F15" i="2"/>
  <c r="D15" i="2"/>
  <c r="D14" i="2"/>
  <c r="D13" i="2"/>
  <c r="F23" i="2"/>
  <c r="D23" i="2"/>
  <c r="D69" i="2"/>
  <c r="D68" i="2"/>
  <c r="D67" i="2"/>
  <c r="D66" i="2"/>
  <c r="D65" i="2"/>
  <c r="D64" i="2"/>
  <c r="D63" i="2"/>
  <c r="D62" i="2"/>
  <c r="D61" i="2"/>
  <c r="D60" i="2"/>
  <c r="D59" i="2"/>
  <c r="D58" i="2"/>
  <c r="D57" i="2"/>
  <c r="D56" i="2"/>
  <c r="D55" i="2"/>
  <c r="D54" i="2"/>
  <c r="D53" i="2"/>
  <c r="D49" i="2"/>
  <c r="D48" i="2"/>
  <c r="D47" i="2"/>
  <c r="D46" i="2"/>
  <c r="D45" i="2"/>
  <c r="D44" i="2"/>
  <c r="D43" i="2"/>
  <c r="D42" i="2"/>
  <c r="D41" i="2"/>
  <c r="D40" i="2"/>
  <c r="D39" i="2"/>
  <c r="D38" i="2"/>
  <c r="D37" i="2"/>
  <c r="D36" i="2"/>
  <c r="D35" i="2"/>
  <c r="D34" i="2"/>
  <c r="D33" i="2"/>
  <c r="D32" i="2"/>
  <c r="D31" i="2"/>
  <c r="D22" i="2"/>
  <c r="D19" i="2"/>
  <c r="D18" i="2"/>
  <c r="D17" i="2"/>
  <c r="D12" i="2"/>
  <c r="D11" i="2"/>
  <c r="D10" i="2"/>
  <c r="N65" i="1"/>
  <c r="M65" i="1"/>
  <c r="L65" i="1"/>
  <c r="K65" i="1"/>
  <c r="O62" i="1"/>
  <c r="N63" i="1" s="1"/>
  <c r="N64" i="1" s="1"/>
  <c r="O61" i="1"/>
  <c r="J65" i="1" s="1"/>
  <c r="O59" i="1"/>
  <c r="O58" i="1"/>
  <c r="B58" i="1"/>
  <c r="B57" i="1"/>
  <c r="O56" i="1"/>
  <c r="B56" i="1"/>
  <c r="O55" i="1"/>
  <c r="O63" i="1" s="1"/>
  <c r="O53" i="1"/>
  <c r="O52" i="1"/>
  <c r="D50" i="2" l="1"/>
  <c r="D70" i="2"/>
  <c r="D28" i="2"/>
  <c r="H63" i="1"/>
  <c r="H64" i="1" s="1"/>
  <c r="D63" i="1"/>
  <c r="D64" i="1" s="1"/>
  <c r="G63" i="1"/>
  <c r="G64" i="1" s="1"/>
  <c r="D65" i="1"/>
  <c r="I63" i="1"/>
  <c r="I64" i="1" s="1"/>
  <c r="E65" i="1"/>
  <c r="J63" i="1"/>
  <c r="J64" i="1" s="1"/>
  <c r="F65" i="1"/>
  <c r="E63" i="1"/>
  <c r="E64" i="1" s="1"/>
  <c r="F63" i="1"/>
  <c r="F64" i="1" s="1"/>
  <c r="K63" i="1"/>
  <c r="K64" i="1" s="1"/>
  <c r="G65" i="1"/>
  <c r="L63" i="1"/>
  <c r="L64" i="1" s="1"/>
  <c r="H65" i="1"/>
  <c r="M63" i="1"/>
  <c r="M64" i="1" s="1"/>
  <c r="I65" i="1"/>
  <c r="G28" i="2" l="1"/>
  <c r="I28" i="2"/>
  <c r="O65" i="1"/>
  <c r="O64" i="1"/>
  <c r="O66" i="1" l="1"/>
</calcChain>
</file>

<file path=xl/sharedStrings.xml><?xml version="1.0" encoding="utf-8"?>
<sst xmlns="http://schemas.openxmlformats.org/spreadsheetml/2006/main" count="218" uniqueCount="155">
  <si>
    <t>Valor con rango</t>
  </si>
  <si>
    <t>Referencia</t>
  </si>
  <si>
    <t>Incidencia de progresión a forma cardiaca</t>
  </si>
  <si>
    <t>1. Annual rate of cardiomyopathy 1.9%  (95% CI, 1.3%-3.0%)</t>
  </si>
  <si>
    <t>1. Chadalawada S, Sillau S, Archuleta S, et al. Risk of Chronic Cardiomyopathy Among Patients With the Acute Phase or Indeterminate Form of Chagas Disease: A Systematic Review and Meta-analysis. JAMA Netw Open. 2020;3(8):e2015072. doi:10.1001/jamanetworkopen.2020.15072</t>
  </si>
  <si>
    <t>Incidencia de progresión a forma gastrointestinal</t>
  </si>
  <si>
    <t>1. Annual rate of progression of oesophageal involvement 1.1%</t>
  </si>
  <si>
    <t>1. C Castro, V Macêdo, J M Rezende, A Prata.Longitudinal radiologic study of the esophagus, in an endemic area of Chagas disease, in a period of 13 years. .Rev Soc Bras Med Trop.1994 Oct-Dec;27(4):227-33</t>
  </si>
  <si>
    <t>Incidencia de progresión a forma mixta</t>
  </si>
  <si>
    <t>Tasa de transmisión maternofetal</t>
  </si>
  <si>
    <t xml:space="preserve">1. 4.7% (95% confidence interval: 3.9–5.6%)
</t>
  </si>
  <si>
    <r>
      <rPr>
        <sz val="10"/>
        <color rgb="FF9900FF"/>
        <rFont val="Arial"/>
      </rPr>
      <t xml:space="preserve">1. Howard EJ, Xiong X, Carlier Y, Sosa-Estani S, Buekens P. Frequency of the congenital transmission of Trypanosoma cruzi: a systematic review and meta-analysis. BJOG: An International Journal of Obstetrics &amp; Gynaecology. 2013;121(1):22-33. </t>
    </r>
    <r>
      <rPr>
        <u/>
        <sz val="10"/>
        <color rgb="FF1155CC"/>
        <rFont val="Arial"/>
      </rPr>
      <t>http://doi.wiley.com/10.1111/1471-0528.1239</t>
    </r>
    <r>
      <rPr>
        <sz val="10"/>
        <color rgb="FF000000"/>
        <rFont val="Arial"/>
        <scheme val="minor"/>
      </rPr>
      <t xml:space="preserve">
</t>
    </r>
  </si>
  <si>
    <t>Reducción de Incidencia a forma cardiaca en ttdos</t>
  </si>
  <si>
    <t>1. OR 0.49 (95% CI 0.19-1.25) de eventos clínicos en tratados vs no tratados; OR 0.93 si cardiopatia moder-grave previa (95% CI 0.79-1.09)</t>
  </si>
  <si>
    <t>1. Crespillo-Andújar C, Comeche B, Hamer DH, et al. Use of benznidazole to treat chronic Chagas disease: An updated systematic review with a meta-analysis. PLoS neglected tropical diseases. 2022;16(5):e0010386. doi:10.1371/journal.pntd.0010386</t>
  </si>
  <si>
    <t>Reducción de Incidencia a forma gastrointestinal en ttdos</t>
  </si>
  <si>
    <t>1. HR 0.88 (0.55-1.42) (p:0.59) progression to digestive form in treated vs non-treated patients.</t>
  </si>
  <si>
    <t>1. Erika Alessandra Pellison Nunes da Costa, Cassiano Victória, Carlos Magno Castelo Branco Fortaleza. Predictors of development of cardiac and digestive disorders among patients with indeterminate chronic Chagas Disease. PLoS Negl Trop Dis
. 2021 Aug 13;15(8):e0009680.</t>
  </si>
  <si>
    <t>Reducción de Incidencia  a forma mixta en ttdos</t>
  </si>
  <si>
    <t>Reducción de tasa de transmision maternofetal en ttdos</t>
  </si>
  <si>
    <t>1. 0% de transmision con pautas &lt;30 días con NFX o BNZ
2. Metanal: 0% de transmision en tratadas (95% Cl 0–0.91%); OR de 0.05 tradas vs no tratadas; 95% Cl 0.01–0.27</t>
  </si>
  <si>
    <t>1. Moscatelli G, Moroni S, Ramírez JC, et al. Efficacy of short-course treatment for prevention of congenital transmission of Chagas disease: A retrospective cohort study. Reithinger R, ed. PLOS Neglected Tropical Diseases. 2024;18(1):e0011895. doi:10.1371/journal.pntd.0011895
2. Moraes FCA de, Souza MEC, Dal Moro L, et al. Prevention of congenital chagas disease by trypanocide treatment in women of reproductive age: A meta-analysis of observational studies. Almeida IC, ed. PLOS Neglected Tropical Diseases. 2024;18(9):e0012407. doi:10.1371/journal.pntd.0012407</t>
  </si>
  <si>
    <t>Índice coyuntural de fertilidad</t>
  </si>
  <si>
    <t>1. 1.09 hijos por mujer en españolas 1.28 en extranjeras (2023)</t>
  </si>
  <si>
    <r>
      <rPr>
        <sz val="10"/>
        <color rgb="FF9900FF"/>
        <rFont val="Arial"/>
      </rPr>
      <t xml:space="preserve">1. </t>
    </r>
    <r>
      <rPr>
        <u/>
        <sz val="10"/>
        <color rgb="FF1155CC"/>
        <rFont val="Arial"/>
      </rPr>
      <t>https://www.ine.es/dyngs/Prensa/es/MNP2023.htm</t>
    </r>
  </si>
  <si>
    <t>Distribución etaria de los migrantes con Chagas</t>
  </si>
  <si>
    <t>1. En la tabla (año 2023) no se pueden excluir los del Caribe. Se incluyen todos los países endémicos</t>
  </si>
  <si>
    <r>
      <rPr>
        <sz val="10"/>
        <color rgb="FF9900FF"/>
        <rFont val="Arial"/>
      </rPr>
      <t xml:space="preserve">1. </t>
    </r>
    <r>
      <rPr>
        <u/>
        <sz val="10"/>
        <color rgb="FF1155CC"/>
        <rFont val="Arial"/>
      </rPr>
      <t>https://www.ine.es/jaxiT3/Datos.htm?t=56936#_tabs-tabla</t>
    </r>
  </si>
  <si>
    <t>Distribución por sexo de los migrantes con Chagas</t>
  </si>
  <si>
    <t>1. Ver en misma tabla que la anterior</t>
  </si>
  <si>
    <t>Incidencia de abortos en migrantes con Chagas</t>
  </si>
  <si>
    <t>5.6% (23 abortos en 414 gestantes) a lo largo de dos años. En zona endémica. Oliveira Fda C, Chapadeiro E, Alonso MT, Lopes ER, Pereira FE. Doença de Chagas e gravidez. I. Incidência da tripanosomíase e abortamento espontâneo em gestantes chagásicas crônicas [Chagas disease and pregnancy. I. Incidence of trypanosomiasis and spontaneous abortion in pregnant women with chronic Chagas disease]. Rev Inst Med Trop Sao Paulo. 1966 Jul-Aug;8(4):184-5. Portuguese. PMID: 4962969.</t>
  </si>
  <si>
    <t>Incidencia de abortos en migrantes con Chagas tratados</t>
  </si>
  <si>
    <t>Mortalidad chagas congénito</t>
  </si>
  <si>
    <r>
      <rPr>
        <sz val="10"/>
        <color rgb="FF9900FF"/>
        <rFont val="Arial"/>
      </rPr>
      <t>1. 28% of cCD morbidity (95% CI = 19.0%, 38.5%) and 2.2%  of infants died (95% CI = 1.3%, 3.5%</t>
    </r>
    <r>
      <rPr>
        <sz val="10"/>
        <color theme="1"/>
        <rFont val="Arial"/>
      </rPr>
      <t>)</t>
    </r>
  </si>
  <si>
    <t>1. Matthews S, Tannis A, Puchner KP, et al. Estimation of the morbidity and mortality of congenital Chagas disease: A systematic review and meta-analysis. PLoS neglected tropical diseases. 2022;16(11):e0010376. doi:10.1371/journal.pntd.0010376</t>
  </si>
  <si>
    <t>Porcentaje de prematuros</t>
  </si>
  <si>
    <t>1. Prematuros 6.0% (95% CI 3.3%, 9.5%), low birth weight (LBW) 5.8% (95% CI 3.2%, 9.1%)</t>
  </si>
  <si>
    <t>Incidencia de toxicidad por BZN</t>
  </si>
  <si>
    <t>1. 51.6% (95% CI 41.0, 62.2) en adultos</t>
  </si>
  <si>
    <r>
      <rPr>
        <sz val="10"/>
        <color rgb="FF9900FF"/>
        <rFont val="Arial"/>
      </rPr>
      <t xml:space="preserve">1. Crespillo-Andújar C, Venanzi-Rullo E, Lopez-Velez R, et al. Safety Profile of Benznidazole in the Treatment of Chronic Chagas Disease: Experience of a Referral Centre and Systematic Literature Review with Meta-Analysis. Drug safety. 2018;41(11):1035-1048. </t>
    </r>
    <r>
      <rPr>
        <u/>
        <sz val="10"/>
        <color rgb="FF1155CC"/>
        <rFont val="Arial"/>
      </rPr>
      <t>https://doi.org/10.1007/s40264-018-0696-5</t>
    </r>
  </si>
  <si>
    <t>Incidencia de mortalidad por BZN</t>
  </si>
  <si>
    <t>1. 0%</t>
  </si>
  <si>
    <r>
      <rPr>
        <sz val="10"/>
        <color rgb="FF9900FF"/>
        <rFont val="Arial"/>
      </rPr>
      <t xml:space="preserve">1. Crespillo-Andújar C, Venanzi-Rullo E, Lopez-Velez R, et al. Safety Profile of Benznidazole in the Treatment of Chronic Chagas Disease: Experience of a Referral Centre and Systematic Literature Review with Meta-Analysis. Drug safety. 2018;41(11):1035-1048. </t>
    </r>
    <r>
      <rPr>
        <u/>
        <sz val="10"/>
        <color rgb="FF1155CC"/>
        <rFont val="Arial"/>
      </rPr>
      <t>https://doi.org/10.1007/s40264-018-0696-5</t>
    </r>
  </si>
  <si>
    <t xml:space="preserve">Incidencia de Abandono tto </t>
  </si>
  <si>
    <t>1. 14.2% (95% CI 11.2, 17.5)</t>
  </si>
  <si>
    <t>1. Crespillo-Andújar C, Venanzi-Rullo E, Lopez-Velez R, et al. Safety Profile of Benznidazole in the Treatment of Chronic Chagas Disease: Experience of a Referral Centre and Systematic Literature Review with Meta-Analysis. Drug safety. 2018;41(11):1035-1048. https://doi.org/10.1007/s40264-018-0696-5</t>
  </si>
  <si>
    <t>Incidencia de mortalidad en personas con cardiopatia chagásica</t>
  </si>
  <si>
    <t>1. 7.9% (95% (CI): 6.3–10.1). Mortalidad por cualquier causa. La mortalidad cardiaca 6.3% (95% CI: 4.9–8.0)</t>
  </si>
  <si>
    <t>1. Chadalawada S, Rassi A, Samara O, et al. Mortality risk in chronic Chagas cardiomyopathy: a systematic review and meta‐analysis. ESC Heart Failure. 2021;8(6):5466-5481. doi:10.1002/ehf2.13648</t>
  </si>
  <si>
    <t xml:space="preserve">Incidencia de stroke en chagásicos
</t>
  </si>
  <si>
    <t xml:space="preserve">1. Estudio longitudinal: 2.67 events per 100 patient/years.
2. Stroke incidence was higher in Chagas vs to non-Chagas patients (20.2 vs. 13.9 events per 1000 patient-years)
</t>
  </si>
  <si>
    <r>
      <rPr>
        <sz val="10"/>
        <color rgb="FF9900FF"/>
        <rFont val="Arial"/>
      </rPr>
      <t>1. Nunes MCP, Barbosa MM, Ribeiro ALP, Barbosa FBL, Rocha MOC. Ischemic cerebrovascular events in patients with Chagas cardiomyopathy: A prospective follow-up study. Journal of the Neurological Sciences. 2009;278(1-2):96-101. doi:10.1016/j.jns.2008.12.015
2. Cerqueira-Silva T, Gonçalves BM, Pereira CB, et al. Chagas disease is an independent predictor of stroke and death in a cohort of heart failure patients. International Journal of Stroke. 2022;17(2):180-188. doi:10.1177/17474930211006284</t>
    </r>
    <r>
      <rPr>
        <sz val="10"/>
        <color theme="1"/>
        <rFont val="Arial"/>
      </rPr>
      <t xml:space="preserve">
</t>
    </r>
  </si>
  <si>
    <t>Costes</t>
  </si>
  <si>
    <t>Coste BZN</t>
  </si>
  <si>
    <r>
      <rPr>
        <sz val="10"/>
        <color theme="1"/>
        <rFont val="Arial"/>
      </rPr>
      <t xml:space="preserve">50    40-60  </t>
    </r>
    <r>
      <rPr>
        <sz val="10"/>
        <color rgb="FF38761D"/>
        <rFont val="Arial"/>
      </rPr>
      <t>Abarax 100mg: 100 comprimidos 62.4 euros, Abarax 50mg: 100 comprimidos 31.2 euros</t>
    </r>
  </si>
  <si>
    <r>
      <t xml:space="preserve">Unitaid. Chagas Disease: diagnostics and treatments landscape. Geneva: World Health Organization; 2021. Available from: </t>
    </r>
    <r>
      <rPr>
        <u/>
        <sz val="10"/>
        <color rgb="FF1155CC"/>
        <rFont val="Arial"/>
      </rPr>
      <t>https://unitaid.org</t>
    </r>
    <r>
      <rPr>
        <sz val="10"/>
        <rFont val="Arial"/>
      </rPr>
      <t>.</t>
    </r>
  </si>
  <si>
    <t>Coste Hemograma</t>
  </si>
  <si>
    <t>10  5-20</t>
  </si>
  <si>
    <t>Junta de Andalucía. Tarifas de servicios sanitarios. Sevilla: Consejería de Salud; 2023.</t>
  </si>
  <si>
    <t>Coste Bioquímica básica</t>
  </si>
  <si>
    <t>20  10-30</t>
  </si>
  <si>
    <t>Coste ECG</t>
  </si>
  <si>
    <t>40  30-50</t>
  </si>
  <si>
    <t>Coste Ecocardio</t>
  </si>
  <si>
    <t>100  80-150</t>
  </si>
  <si>
    <t>Coste serología Tripanosoma cruzi</t>
  </si>
  <si>
    <t>50  40-60</t>
  </si>
  <si>
    <t>Ministerio de Sanidad. Estrategia Nacional frente a la enfermedad de Chagas. Madrid: Ministerio de Sanidad; 2020.</t>
  </si>
  <si>
    <t>Coste PCR Tripanosoma cruzi</t>
  </si>
  <si>
    <t>120  100-150</t>
  </si>
  <si>
    <t>Coste MCP</t>
  </si>
  <si>
    <t>6000  5000-7000</t>
  </si>
  <si>
    <t>Servicio Nacional de Salud. Tarifas para dispositivos y procedimientos cardiovasculares. Madrid: SNS; 2023.</t>
  </si>
  <si>
    <t>Coste Transplante cardiaco</t>
  </si>
  <si>
    <t>100000  80000-120000</t>
  </si>
  <si>
    <t>Servicio Gallego de Salud (SERGAS). Costes hospitalarios para trasplantes. Santiago de Compostela: SERGAS; 2023.</t>
  </si>
  <si>
    <t>Coste Desfibrilador Automático implantable (DAI)</t>
  </si>
  <si>
    <t>25000  20000-30000</t>
  </si>
  <si>
    <t>Pedrote A, et al. Impacto económico de los desfibriladores implantables. Rev Esp Cardiol. 2019;72(8):678–85.</t>
  </si>
  <si>
    <t>Coste Dispositivo asistencia ventricular (DAV)</t>
  </si>
  <si>
    <t>60000   50000-70000</t>
  </si>
  <si>
    <t>Coste Enema Opaco</t>
  </si>
  <si>
    <t>80  60-100</t>
  </si>
  <si>
    <t>Coste Transito gastroesofágico baritado</t>
  </si>
  <si>
    <t>90  70-110</t>
  </si>
  <si>
    <t>Coste Gastroscopia</t>
  </si>
  <si>
    <t>150  100-120</t>
  </si>
  <si>
    <t>Pesos calidad de vida (Qalys)</t>
  </si>
  <si>
    <t>Qalys inmigrante con chagas indeterminado</t>
  </si>
  <si>
    <t>Requena Lancet GH 2016</t>
  </si>
  <si>
    <t>Qalys inmigrante con cardiopatía</t>
  </si>
  <si>
    <t>Qalys inmigrante con forma intestinal</t>
  </si>
  <si>
    <t>Población residente por fecha, sexo, grupo de edad y nacionalidad</t>
  </si>
  <si>
    <t>Pacs &gt;15 con Chagas en España</t>
  </si>
  <si>
    <t>Unidades: Personas</t>
  </si>
  <si>
    <t>Navarro et al. Travel Med Inf Dis 2022</t>
  </si>
  <si>
    <t>De 15 a 19 años</t>
  </si>
  <si>
    <t>De 20 a 24 años</t>
  </si>
  <si>
    <t>De 25 a 29 años</t>
  </si>
  <si>
    <t>De 30 a 34 años</t>
  </si>
  <si>
    <t>De 35 a 39 años</t>
  </si>
  <si>
    <t>De 40 a 44 años</t>
  </si>
  <si>
    <t>De 45 a 49 años</t>
  </si>
  <si>
    <t>De 50 a 54 años</t>
  </si>
  <si>
    <t>De 55 a 59 años</t>
  </si>
  <si>
    <t>De 60 a 64 años</t>
  </si>
  <si>
    <t>De 65 a 69 años</t>
  </si>
  <si>
    <t>Española</t>
  </si>
  <si>
    <t xml:space="preserve">  Hombres</t>
  </si>
  <si>
    <t xml:space="preserve">  Mujeres</t>
  </si>
  <si>
    <t>México</t>
  </si>
  <si>
    <t>Coste del tratamiento 70kg*5mg*60dias*0,624€por comprimido</t>
  </si>
  <si>
    <t>De Centro América y Caribe</t>
  </si>
  <si>
    <t>De Sudamérica</t>
  </si>
  <si>
    <t>Mujeres con Chagas</t>
  </si>
  <si>
    <t>Varones con chagas</t>
  </si>
  <si>
    <t>La agrupación "País de la UE28 sin España" no incluye Croacia para fechas anteriores al 1 de julio de 2013</t>
  </si>
  <si>
    <t>Con la entrada en vigor del Brexit, el agregado UE-27 sustituye al UE-28 a partir del 1 de julio de 2020, sustrayendo las cifras del Reino Unido de la UE.</t>
  </si>
  <si>
    <t>Turquía se considera perteneciente a Europa desde el 1 de enero de 2021</t>
  </si>
  <si>
    <t>Fuente:</t>
  </si>
  <si>
    <t>Instituto Nacional de Estadística</t>
  </si>
  <si>
    <t>Calculo costes</t>
  </si>
  <si>
    <t>Kuschnir</t>
  </si>
  <si>
    <t>Item</t>
  </si>
  <si>
    <t>Coste unitario</t>
  </si>
  <si>
    <t>Unidades anuales</t>
  </si>
  <si>
    <t>Coste anual</t>
  </si>
  <si>
    <t>Tratamiento</t>
  </si>
  <si>
    <t>Una vez</t>
  </si>
  <si>
    <t>131/total años</t>
  </si>
  <si>
    <t>Visita médica</t>
  </si>
  <si>
    <t>Total</t>
  </si>
  <si>
    <t>Sintomáticos card</t>
  </si>
  <si>
    <t>Sacubitril/Valsartán</t>
  </si>
  <si>
    <t>bisoprolol</t>
  </si>
  <si>
    <t>dapagliflozina</t>
  </si>
  <si>
    <t>furosemida</t>
  </si>
  <si>
    <t>hospitalization</t>
  </si>
  <si>
    <t>DE 8948,87</t>
  </si>
  <si>
    <t>Sintomáticos dig</t>
  </si>
  <si>
    <t>Manometría esofágica</t>
  </si>
  <si>
    <t>Cirugía</t>
  </si>
  <si>
    <t>Esfinterotomía endoscópica</t>
  </si>
  <si>
    <t>Tratados asintomáticos seguimiento</t>
  </si>
  <si>
    <t>Extra al inicio</t>
  </si>
  <si>
    <t>Basal y cada 5 años</t>
  </si>
  <si>
    <t>2 first 2 years and then annually</t>
  </si>
  <si>
    <t>4 during treatment and every six months afterwards</t>
  </si>
  <si>
    <t>Primer año</t>
  </si>
  <si>
    <t>Segundo año</t>
  </si>
  <si>
    <t>Prednisona 30mg 30cp</t>
  </si>
  <si>
    <t>Metoclopramida solución oral 200ml</t>
  </si>
  <si>
    <t>Bilastina 20mg 20cp</t>
  </si>
  <si>
    <t>Pregabalina 50mg 56cap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</si>
</sst>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quot;;[Red]\-#,##0.00\ &quot;€&quot;"/>
    <numFmt numFmtId="164" formatCode="d&quot; de &quot;mmmm&quot; de &quot;yyyy"/>
    <numFmt numFmtId="165" formatCode="#,##0&quot;€&quot;"/>
  </numFmts>
  <fonts count="27">
    <font>
      <sz val="10"/>
      <color rgb="FF000000"/>
      <name val="Arial"/>
      <scheme val="minor"/>
    </font>
    <font>
      <b/>
      <sz val="10"/>
      <color theme="1"/>
      <name val="Arial"/>
      <scheme val="minor"/>
    </font>
    <font>
      <sz val="10"/>
      <color theme="1"/>
      <name val="Arial"/>
      <scheme val="minor"/>
    </font>
    <font>
      <sz val="10"/>
      <color rgb="FF9900FF"/>
      <name val="Arial"/>
      <scheme val="minor"/>
    </font>
    <font>
      <sz val="10"/>
      <color rgb="FFFF9900"/>
      <name val="Arial"/>
      <scheme val="minor"/>
    </font>
    <font>
      <u/>
      <sz val="10"/>
      <color rgb="FF0000FF"/>
      <name val="Arial"/>
    </font>
    <font>
      <u/>
      <sz val="10"/>
      <color rgb="FF9900FF"/>
      <name val="Arial"/>
    </font>
    <font>
      <sz val="10"/>
      <color rgb="FF38761D"/>
      <name val="Arial"/>
      <scheme val="minor"/>
    </font>
    <font>
      <u/>
      <sz val="10"/>
      <color rgb="FF0000FF"/>
      <name val="Arial"/>
    </font>
    <font>
      <sz val="10"/>
      <color theme="1"/>
      <name val="Arial"/>
      <scheme val="minor"/>
    </font>
    <font>
      <b/>
      <sz val="11"/>
      <color rgb="FF000000"/>
      <name val="Arial"/>
    </font>
    <font>
      <sz val="11"/>
      <color rgb="FF000000"/>
      <name val="&quot;Aptos Narrow&quot;"/>
    </font>
    <font>
      <b/>
      <sz val="10"/>
      <color rgb="FF000000"/>
      <name val="Arial"/>
    </font>
    <font>
      <sz val="11"/>
      <color rgb="FFFFFFFF"/>
      <name val="Calibri"/>
    </font>
    <font>
      <b/>
      <sz val="14"/>
      <color theme="1"/>
      <name val="Arial"/>
      <scheme val="minor"/>
    </font>
    <font>
      <sz val="10"/>
      <name val="Arial"/>
    </font>
    <font>
      <sz val="9"/>
      <color rgb="FF000000"/>
      <name val="Arial"/>
    </font>
    <font>
      <sz val="8"/>
      <color rgb="FF000000"/>
      <name val="&quot;Aptos Narrow&quot;"/>
    </font>
    <font>
      <sz val="11"/>
      <color rgb="FF000000"/>
      <name val="Arial"/>
    </font>
    <font>
      <sz val="9"/>
      <color rgb="FF000000"/>
      <name val="&quot;Aptos Narrow&quot;"/>
    </font>
    <font>
      <sz val="10"/>
      <color rgb="FF9900FF"/>
      <name val="Arial"/>
    </font>
    <font>
      <u/>
      <sz val="10"/>
      <color rgb="FF1155CC"/>
      <name val="Arial"/>
    </font>
    <font>
      <sz val="10"/>
      <color theme="1"/>
      <name val="Arial"/>
    </font>
    <font>
      <sz val="10"/>
      <color rgb="FF38761D"/>
      <name val="Arial"/>
    </font>
    <font>
      <sz val="9"/>
      <color rgb="FF000000"/>
      <name val="Aptos"/>
      <family val="2"/>
    </font>
    <font>
      <sz val="10"/>
      <color rgb="FF000000"/>
      <name val="Arial"/>
      <family val="2"/>
      <scheme val="minor"/>
    </font>
    <font>
      <sz val="10"/>
      <color theme="1"/>
      <name val="Arial"/>
      <family val="2"/>
      <scheme val="minor"/>
    </font>
  </fonts>
  <fills count="3">
    <fill>
      <patternFill patternType="none"/>
    </fill>
    <fill>
      <patternFill patternType="gray125"/>
    </fill>
    <fill>
      <patternFill patternType="solid">
        <fgColor rgb="FFF3F3F3"/>
        <bgColor rgb="FFF3F3F3"/>
      </patternFill>
    </fill>
  </fills>
  <borders count="7">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2" fillId="0" borderId="0" xfId="0" applyFont="1" applyAlignment="1">
      <alignment horizontal="left"/>
    </xf>
    <xf numFmtId="0" fontId="9" fillId="0" borderId="0" xfId="0" applyFont="1" applyAlignment="1">
      <alignment horizontal="left"/>
    </xf>
    <xf numFmtId="0" fontId="10" fillId="2" borderId="1" xfId="0" applyFont="1" applyFill="1" applyBorder="1"/>
    <xf numFmtId="0" fontId="10" fillId="2" borderId="2" xfId="0" applyFont="1" applyFill="1" applyBorder="1"/>
    <xf numFmtId="0" fontId="10" fillId="2" borderId="3" xfId="0" applyFont="1" applyFill="1" applyBorder="1"/>
    <xf numFmtId="0" fontId="11" fillId="2" borderId="0" xfId="0" applyFont="1" applyFill="1"/>
    <xf numFmtId="0" fontId="12" fillId="2" borderId="1" xfId="0" applyFont="1" applyFill="1" applyBorder="1"/>
    <xf numFmtId="0" fontId="12" fillId="2" borderId="2" xfId="0" applyFont="1" applyFill="1" applyBorder="1"/>
    <xf numFmtId="0" fontId="12" fillId="2" borderId="3" xfId="0" applyFont="1" applyFill="1" applyBorder="1"/>
    <xf numFmtId="0" fontId="13" fillId="2" borderId="1" xfId="0" applyFont="1" applyFill="1" applyBorder="1"/>
    <xf numFmtId="0" fontId="13" fillId="2" borderId="2" xfId="0" applyFont="1" applyFill="1" applyBorder="1"/>
    <xf numFmtId="0" fontId="13" fillId="2" borderId="3" xfId="0" applyFont="1" applyFill="1" applyBorder="1"/>
    <xf numFmtId="0" fontId="14" fillId="0" borderId="0" xfId="0" applyFont="1"/>
    <xf numFmtId="0" fontId="11" fillId="2" borderId="4" xfId="0" applyFont="1" applyFill="1" applyBorder="1"/>
    <xf numFmtId="164" fontId="12" fillId="2" borderId="2" xfId="0" applyNumberFormat="1" applyFont="1" applyFill="1" applyBorder="1" applyAlignment="1">
      <alignment horizontal="left"/>
    </xf>
    <xf numFmtId="164" fontId="12" fillId="2" borderId="3" xfId="0" applyNumberFormat="1" applyFont="1" applyFill="1" applyBorder="1" applyAlignment="1">
      <alignment horizontal="left"/>
    </xf>
    <xf numFmtId="0" fontId="12" fillId="2" borderId="5" xfId="0" applyFont="1" applyFill="1" applyBorder="1" applyAlignment="1">
      <alignment horizontal="left"/>
    </xf>
    <xf numFmtId="0" fontId="12" fillId="2" borderId="4" xfId="0" applyFont="1" applyFill="1" applyBorder="1" applyAlignment="1">
      <alignment horizontal="left"/>
    </xf>
    <xf numFmtId="4" fontId="16" fillId="2" borderId="5" xfId="0" applyNumberFormat="1" applyFont="1" applyFill="1" applyBorder="1" applyAlignment="1">
      <alignment horizontal="right"/>
    </xf>
    <xf numFmtId="4" fontId="2" fillId="0" borderId="0" xfId="0" applyNumberFormat="1" applyFont="1"/>
    <xf numFmtId="0" fontId="16" fillId="2" borderId="5" xfId="0" applyFont="1" applyFill="1" applyBorder="1" applyAlignment="1">
      <alignment horizontal="right"/>
    </xf>
    <xf numFmtId="0" fontId="17" fillId="2" borderId="0" xfId="0" applyFont="1" applyFill="1"/>
    <xf numFmtId="0" fontId="18" fillId="2" borderId="0" xfId="0" applyFont="1" applyFill="1"/>
    <xf numFmtId="0" fontId="12" fillId="2" borderId="6" xfId="0" applyFont="1" applyFill="1" applyBorder="1"/>
    <xf numFmtId="0" fontId="19" fillId="2" borderId="0" xfId="0" applyFont="1" applyFill="1"/>
    <xf numFmtId="9" fontId="2" fillId="0" borderId="0" xfId="0" applyNumberFormat="1" applyFont="1"/>
    <xf numFmtId="165" fontId="2" fillId="0" borderId="0" xfId="0" applyNumberFormat="1" applyFont="1"/>
    <xf numFmtId="0" fontId="12" fillId="2" borderId="1" xfId="0" applyFont="1" applyFill="1" applyBorder="1" applyAlignment="1">
      <alignment horizontal="left"/>
    </xf>
    <xf numFmtId="0" fontId="15" fillId="0" borderId="2" xfId="0" applyFont="1" applyBorder="1"/>
    <xf numFmtId="0" fontId="15" fillId="0" borderId="3" xfId="0" applyFont="1" applyBorder="1"/>
    <xf numFmtId="0" fontId="11" fillId="2" borderId="0" xfId="0" applyFont="1" applyFill="1"/>
    <xf numFmtId="0" fontId="0" fillId="0" borderId="0" xfId="0"/>
    <xf numFmtId="0" fontId="24" fillId="0" borderId="0" xfId="0" applyFont="1"/>
    <xf numFmtId="0" fontId="26" fillId="0" borderId="0" xfId="0" applyFont="1"/>
    <xf numFmtId="0" fontId="25" fillId="0" borderId="0" xfId="0" applyFont="1"/>
    <xf numFmtId="8" fontId="2" fillId="0" borderId="0" xfId="0" applyNumberFormat="1" applyFont="1"/>
    <xf numFmtId="8" fontId="26" fillId="0" borderId="0" xfId="0" applyNumberFormat="1" applyFont="1"/>
    <xf numFmtId="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e.es/jaxiT3/Datos.htm?t=56936" TargetMode="External"/><Relationship Id="rId2" Type="http://schemas.openxmlformats.org/officeDocument/2006/relationships/hyperlink" Target="https://www.ine.es/dyngs/Prensa/es/MNP2023.htm" TargetMode="External"/><Relationship Id="rId1" Type="http://schemas.openxmlformats.org/officeDocument/2006/relationships/hyperlink" Target="http://doi.wiley.com/10.1111/1471-0528.1239" TargetMode="External"/><Relationship Id="rId6" Type="http://schemas.openxmlformats.org/officeDocument/2006/relationships/hyperlink" Target="https://unitaid.org/" TargetMode="External"/><Relationship Id="rId5" Type="http://schemas.openxmlformats.org/officeDocument/2006/relationships/hyperlink" Target="https://doi.org/10.1007/s40264-018-0696-5" TargetMode="External"/><Relationship Id="rId4" Type="http://schemas.openxmlformats.org/officeDocument/2006/relationships/hyperlink" Target="https://doi.org/10.1007/s40264-018-069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71"/>
  <sheetViews>
    <sheetView workbookViewId="0"/>
  </sheetViews>
  <sheetFormatPr baseColWidth="10" defaultColWidth="12.5703125" defaultRowHeight="15.75" customHeight="1"/>
  <cols>
    <col min="1" max="1" width="49.140625" customWidth="1"/>
    <col min="2" max="2" width="103.42578125" customWidth="1"/>
    <col min="3" max="3" width="73" customWidth="1"/>
  </cols>
  <sheetData>
    <row r="1" spans="1:3">
      <c r="A1" s="1">
        <v>20</v>
      </c>
      <c r="B1" s="2" t="s">
        <v>0</v>
      </c>
      <c r="C1" s="2" t="s">
        <v>1</v>
      </c>
    </row>
    <row r="2" spans="1:3">
      <c r="A2" s="2" t="s">
        <v>2</v>
      </c>
      <c r="B2" s="3" t="s">
        <v>3</v>
      </c>
      <c r="C2" s="3" t="s">
        <v>4</v>
      </c>
    </row>
    <row r="3" spans="1:3">
      <c r="A3" s="2" t="s">
        <v>5</v>
      </c>
      <c r="B3" s="4" t="s">
        <v>6</v>
      </c>
      <c r="C3" s="4" t="s">
        <v>7</v>
      </c>
    </row>
    <row r="4" spans="1:3">
      <c r="A4" s="2" t="s">
        <v>8</v>
      </c>
    </row>
    <row r="5" spans="1:3">
      <c r="A5" s="2" t="s">
        <v>9</v>
      </c>
      <c r="B5" s="3" t="s">
        <v>10</v>
      </c>
      <c r="C5" s="5" t="s">
        <v>11</v>
      </c>
    </row>
    <row r="6" spans="1:3">
      <c r="A6" s="2" t="s">
        <v>12</v>
      </c>
      <c r="B6" s="3" t="s">
        <v>13</v>
      </c>
      <c r="C6" s="3" t="s">
        <v>14</v>
      </c>
    </row>
    <row r="7" spans="1:3">
      <c r="A7" s="2" t="s">
        <v>15</v>
      </c>
      <c r="B7" s="4" t="s">
        <v>16</v>
      </c>
      <c r="C7" s="4" t="s">
        <v>17</v>
      </c>
    </row>
    <row r="8" spans="1:3">
      <c r="A8" s="2" t="s">
        <v>18</v>
      </c>
    </row>
    <row r="9" spans="1:3">
      <c r="A9" s="2" t="s">
        <v>19</v>
      </c>
      <c r="B9" s="3" t="s">
        <v>20</v>
      </c>
      <c r="C9" s="3" t="s">
        <v>21</v>
      </c>
    </row>
    <row r="10" spans="1:3">
      <c r="A10" s="3" t="s">
        <v>22</v>
      </c>
      <c r="B10" s="3" t="s">
        <v>23</v>
      </c>
      <c r="C10" s="5" t="s">
        <v>24</v>
      </c>
    </row>
    <row r="11" spans="1:3">
      <c r="A11" s="2" t="s">
        <v>25</v>
      </c>
      <c r="B11" s="3" t="s">
        <v>26</v>
      </c>
      <c r="C11" s="6" t="s">
        <v>27</v>
      </c>
    </row>
    <row r="12" spans="1:3">
      <c r="A12" s="2" t="s">
        <v>28</v>
      </c>
      <c r="B12" s="3" t="s">
        <v>29</v>
      </c>
    </row>
    <row r="13" spans="1:3">
      <c r="A13" s="2" t="s">
        <v>30</v>
      </c>
      <c r="B13" s="7" t="s">
        <v>31</v>
      </c>
    </row>
    <row r="14" spans="1:3">
      <c r="A14" s="2" t="s">
        <v>32</v>
      </c>
    </row>
    <row r="15" spans="1:3">
      <c r="A15" s="2" t="s">
        <v>33</v>
      </c>
      <c r="B15" s="2" t="s">
        <v>34</v>
      </c>
      <c r="C15" s="3" t="s">
        <v>35</v>
      </c>
    </row>
    <row r="16" spans="1:3">
      <c r="A16" s="2" t="s">
        <v>36</v>
      </c>
      <c r="B16" s="3" t="s">
        <v>37</v>
      </c>
      <c r="C16" s="3" t="s">
        <v>35</v>
      </c>
    </row>
    <row r="17" spans="1:3">
      <c r="A17" s="2" t="s">
        <v>38</v>
      </c>
      <c r="B17" s="3" t="s">
        <v>39</v>
      </c>
      <c r="C17" s="5" t="s">
        <v>40</v>
      </c>
    </row>
    <row r="18" spans="1:3">
      <c r="A18" s="2" t="s">
        <v>41</v>
      </c>
      <c r="B18" s="3" t="s">
        <v>42</v>
      </c>
      <c r="C18" s="5" t="s">
        <v>43</v>
      </c>
    </row>
    <row r="19" spans="1:3">
      <c r="A19" s="2" t="s">
        <v>44</v>
      </c>
      <c r="B19" s="3" t="s">
        <v>45</v>
      </c>
      <c r="C19" s="3" t="s">
        <v>46</v>
      </c>
    </row>
    <row r="20" spans="1:3">
      <c r="A20" s="3" t="s">
        <v>47</v>
      </c>
      <c r="B20" s="3" t="s">
        <v>48</v>
      </c>
      <c r="C20" s="3" t="s">
        <v>49</v>
      </c>
    </row>
    <row r="21" spans="1:3">
      <c r="A21" s="3" t="s">
        <v>50</v>
      </c>
      <c r="B21" s="3" t="s">
        <v>51</v>
      </c>
      <c r="C21" s="2" t="s">
        <v>52</v>
      </c>
    </row>
    <row r="23" spans="1:3">
      <c r="A23" s="2"/>
    </row>
    <row r="24" spans="1:3">
      <c r="A24" s="1" t="s">
        <v>53</v>
      </c>
    </row>
    <row r="25" spans="1:3">
      <c r="A25" s="2" t="s">
        <v>54</v>
      </c>
      <c r="B25" s="2" t="s">
        <v>55</v>
      </c>
      <c r="C25" s="8" t="s">
        <v>56</v>
      </c>
    </row>
    <row r="26" spans="1:3">
      <c r="A26" s="2" t="s">
        <v>57</v>
      </c>
      <c r="B26" s="2" t="s">
        <v>58</v>
      </c>
      <c r="C26" s="9" t="s">
        <v>59</v>
      </c>
    </row>
    <row r="27" spans="1:3">
      <c r="A27" s="2" t="s">
        <v>60</v>
      </c>
      <c r="B27" s="2" t="s">
        <v>61</v>
      </c>
      <c r="C27" s="9" t="s">
        <v>59</v>
      </c>
    </row>
    <row r="28" spans="1:3">
      <c r="A28" s="2" t="s">
        <v>62</v>
      </c>
      <c r="B28" s="2" t="s">
        <v>63</v>
      </c>
      <c r="C28" s="9" t="s">
        <v>59</v>
      </c>
    </row>
    <row r="29" spans="1:3">
      <c r="A29" s="2" t="s">
        <v>64</v>
      </c>
      <c r="B29" s="2" t="s">
        <v>65</v>
      </c>
      <c r="C29" s="9" t="s">
        <v>59</v>
      </c>
    </row>
    <row r="30" spans="1:3">
      <c r="A30" s="2" t="s">
        <v>66</v>
      </c>
      <c r="B30" s="2" t="s">
        <v>67</v>
      </c>
      <c r="C30" s="9" t="s">
        <v>68</v>
      </c>
    </row>
    <row r="31" spans="1:3">
      <c r="A31" s="2" t="s">
        <v>69</v>
      </c>
      <c r="B31" s="2" t="s">
        <v>70</v>
      </c>
      <c r="C31" s="9" t="s">
        <v>68</v>
      </c>
    </row>
    <row r="32" spans="1:3">
      <c r="A32" s="2" t="s">
        <v>71</v>
      </c>
      <c r="B32" s="2" t="s">
        <v>72</v>
      </c>
      <c r="C32" s="9" t="s">
        <v>73</v>
      </c>
    </row>
    <row r="33" spans="1:14">
      <c r="A33" s="2" t="s">
        <v>74</v>
      </c>
      <c r="B33" s="2" t="s">
        <v>75</v>
      </c>
      <c r="C33" s="9" t="s">
        <v>76</v>
      </c>
    </row>
    <row r="34" spans="1:14">
      <c r="A34" s="2" t="s">
        <v>77</v>
      </c>
      <c r="B34" s="2" t="s">
        <v>78</v>
      </c>
      <c r="C34" s="9" t="s">
        <v>79</v>
      </c>
    </row>
    <row r="35" spans="1:14">
      <c r="A35" s="2" t="s">
        <v>80</v>
      </c>
      <c r="B35" s="2" t="s">
        <v>81</v>
      </c>
      <c r="C35" s="9" t="s">
        <v>73</v>
      </c>
    </row>
    <row r="36" spans="1:14">
      <c r="A36" s="2" t="s">
        <v>82</v>
      </c>
      <c r="B36" s="2" t="s">
        <v>83</v>
      </c>
      <c r="C36" s="9" t="s">
        <v>59</v>
      </c>
    </row>
    <row r="37" spans="1:14">
      <c r="A37" s="2" t="s">
        <v>84</v>
      </c>
      <c r="B37" s="2" t="s">
        <v>85</v>
      </c>
      <c r="C37" s="9" t="s">
        <v>59</v>
      </c>
    </row>
    <row r="38" spans="1:14">
      <c r="A38" s="2" t="s">
        <v>86</v>
      </c>
      <c r="B38" s="2" t="s">
        <v>87</v>
      </c>
      <c r="C38" s="9" t="s">
        <v>59</v>
      </c>
    </row>
    <row r="40" spans="1:14">
      <c r="A40" s="1" t="s">
        <v>88</v>
      </c>
    </row>
    <row r="41" spans="1:14">
      <c r="A41" s="2" t="s">
        <v>89</v>
      </c>
      <c r="B41" s="10">
        <v>0.96250000000000002</v>
      </c>
      <c r="C41" s="2" t="s">
        <v>90</v>
      </c>
    </row>
    <row r="42" spans="1:14">
      <c r="A42" s="2" t="s">
        <v>91</v>
      </c>
      <c r="B42" s="11">
        <v>0.71709999999999996</v>
      </c>
      <c r="C42" s="2" t="s">
        <v>90</v>
      </c>
    </row>
    <row r="43" spans="1:14">
      <c r="A43" s="2" t="s">
        <v>92</v>
      </c>
      <c r="B43" s="10">
        <v>0.71709999999999996</v>
      </c>
      <c r="C43" s="2" t="s">
        <v>90</v>
      </c>
    </row>
    <row r="46" spans="1:14" ht="15.75" customHeight="1">
      <c r="C46" s="12" t="s">
        <v>93</v>
      </c>
      <c r="D46" s="13"/>
      <c r="E46" s="13"/>
      <c r="F46" s="13"/>
      <c r="G46" s="13"/>
      <c r="H46" s="13"/>
      <c r="I46" s="13"/>
      <c r="J46" s="13"/>
      <c r="K46" s="13"/>
      <c r="L46" s="13"/>
      <c r="M46" s="14"/>
      <c r="N46" s="15"/>
    </row>
    <row r="47" spans="1:14">
      <c r="A47" s="2" t="s">
        <v>94</v>
      </c>
      <c r="C47" s="16" t="s">
        <v>95</v>
      </c>
      <c r="D47" s="17"/>
      <c r="E47" s="17"/>
      <c r="F47" s="17"/>
      <c r="G47" s="17"/>
      <c r="H47" s="17"/>
      <c r="I47" s="17"/>
      <c r="J47" s="17"/>
      <c r="K47" s="17"/>
      <c r="L47" s="17"/>
      <c r="M47" s="18"/>
      <c r="N47" s="15"/>
    </row>
    <row r="48" spans="1:14" ht="15.75" customHeight="1">
      <c r="A48" s="2">
        <v>54754</v>
      </c>
      <c r="B48" s="2" t="s">
        <v>96</v>
      </c>
      <c r="C48" s="19"/>
      <c r="D48" s="20"/>
      <c r="E48" s="20"/>
      <c r="F48" s="20"/>
      <c r="G48" s="20"/>
      <c r="H48" s="20"/>
      <c r="I48" s="20"/>
      <c r="J48" s="20"/>
      <c r="K48" s="20"/>
      <c r="L48" s="20"/>
      <c r="M48" s="21"/>
      <c r="N48" s="15"/>
    </row>
    <row r="49" spans="2:15" ht="15.75" customHeight="1">
      <c r="B49" s="22"/>
      <c r="C49" s="23"/>
      <c r="D49" s="24">
        <v>44927</v>
      </c>
      <c r="E49" s="24"/>
      <c r="F49" s="24"/>
      <c r="G49" s="24"/>
      <c r="H49" s="24"/>
      <c r="I49" s="24"/>
      <c r="J49" s="24"/>
      <c r="K49" s="24"/>
      <c r="L49" s="24"/>
      <c r="M49" s="24"/>
      <c r="N49" s="25"/>
    </row>
    <row r="50" spans="2:15" ht="15.75" customHeight="1">
      <c r="B50" s="22"/>
      <c r="C50" s="23"/>
      <c r="D50" s="26" t="s">
        <v>97</v>
      </c>
      <c r="E50" s="26" t="s">
        <v>98</v>
      </c>
      <c r="F50" s="26" t="s">
        <v>99</v>
      </c>
      <c r="G50" s="26" t="s">
        <v>100</v>
      </c>
      <c r="H50" s="26" t="s">
        <v>101</v>
      </c>
      <c r="I50" s="26" t="s">
        <v>102</v>
      </c>
      <c r="J50" s="26" t="s">
        <v>103</v>
      </c>
      <c r="K50" s="26" t="s">
        <v>104</v>
      </c>
      <c r="L50" s="26" t="s">
        <v>105</v>
      </c>
      <c r="M50" s="26" t="s">
        <v>106</v>
      </c>
      <c r="N50" s="26" t="s">
        <v>107</v>
      </c>
    </row>
    <row r="51" spans="2:15">
      <c r="C51" s="37" t="s">
        <v>108</v>
      </c>
      <c r="D51" s="38"/>
      <c r="E51" s="38"/>
      <c r="F51" s="38"/>
      <c r="G51" s="38"/>
      <c r="H51" s="38"/>
      <c r="I51" s="38"/>
      <c r="J51" s="38"/>
      <c r="K51" s="38"/>
      <c r="L51" s="38"/>
      <c r="M51" s="38"/>
      <c r="N51" s="39"/>
    </row>
    <row r="52" spans="2:15">
      <c r="C52" s="27" t="s">
        <v>109</v>
      </c>
      <c r="D52" s="28">
        <v>1170868</v>
      </c>
      <c r="E52" s="28">
        <v>1071661</v>
      </c>
      <c r="F52" s="28">
        <v>1023019</v>
      </c>
      <c r="G52" s="28">
        <v>1089277</v>
      </c>
      <c r="H52" s="28">
        <v>1214887</v>
      </c>
      <c r="I52" s="28">
        <v>1547177</v>
      </c>
      <c r="J52" s="28">
        <v>1764902</v>
      </c>
      <c r="K52" s="28">
        <v>1683977</v>
      </c>
      <c r="L52" s="28">
        <v>1609488</v>
      </c>
      <c r="M52" s="28">
        <v>1419618</v>
      </c>
      <c r="N52" s="28">
        <v>1169621</v>
      </c>
      <c r="O52" s="29">
        <f t="shared" ref="O52:O53" si="0">SUM(D52:N52)</f>
        <v>14764495</v>
      </c>
    </row>
    <row r="53" spans="2:15">
      <c r="C53" s="27" t="s">
        <v>110</v>
      </c>
      <c r="D53" s="28">
        <v>1111133</v>
      </c>
      <c r="E53" s="28">
        <v>1016409</v>
      </c>
      <c r="F53" s="28">
        <v>976452</v>
      </c>
      <c r="G53" s="28">
        <v>1049837</v>
      </c>
      <c r="H53" s="28">
        <v>1198417</v>
      </c>
      <c r="I53" s="28">
        <v>1537141</v>
      </c>
      <c r="J53" s="28">
        <v>1745742</v>
      </c>
      <c r="K53" s="28">
        <v>1688866</v>
      </c>
      <c r="L53" s="28">
        <v>1658070</v>
      </c>
      <c r="M53" s="28">
        <v>1504371</v>
      </c>
      <c r="N53" s="28">
        <v>1287791</v>
      </c>
      <c r="O53" s="29">
        <f t="shared" si="0"/>
        <v>14774229</v>
      </c>
    </row>
    <row r="54" spans="2:15" ht="12.75">
      <c r="C54" s="37" t="s">
        <v>111</v>
      </c>
      <c r="D54" s="38"/>
      <c r="E54" s="38"/>
      <c r="F54" s="38"/>
      <c r="G54" s="38"/>
      <c r="H54" s="38"/>
      <c r="I54" s="38"/>
      <c r="J54" s="38"/>
      <c r="K54" s="38"/>
      <c r="L54" s="38"/>
      <c r="M54" s="38"/>
      <c r="N54" s="39"/>
    </row>
    <row r="55" spans="2:15" ht="12.75">
      <c r="B55" s="2" t="s">
        <v>112</v>
      </c>
      <c r="C55" s="27" t="s">
        <v>109</v>
      </c>
      <c r="D55" s="30">
        <v>585</v>
      </c>
      <c r="E55" s="28">
        <v>1005</v>
      </c>
      <c r="F55" s="28">
        <v>1744</v>
      </c>
      <c r="G55" s="28">
        <v>2136</v>
      </c>
      <c r="H55" s="28">
        <v>1804</v>
      </c>
      <c r="I55" s="28">
        <v>1379</v>
      </c>
      <c r="J55" s="30">
        <v>943</v>
      </c>
      <c r="K55" s="30">
        <v>629</v>
      </c>
      <c r="L55" s="30">
        <v>386</v>
      </c>
      <c r="M55" s="30">
        <v>289</v>
      </c>
      <c r="N55" s="30">
        <v>218</v>
      </c>
      <c r="O55" s="2">
        <f t="shared" ref="O55:O56" si="1">SUM(D55:N55)</f>
        <v>11118</v>
      </c>
    </row>
    <row r="56" spans="2:15" ht="12.75">
      <c r="B56" s="2">
        <f>70*5</f>
        <v>350</v>
      </c>
      <c r="C56" s="27" t="s">
        <v>110</v>
      </c>
      <c r="D56" s="30">
        <v>613</v>
      </c>
      <c r="E56" s="28">
        <v>1394</v>
      </c>
      <c r="F56" s="28">
        <v>3148</v>
      </c>
      <c r="G56" s="28">
        <v>3547</v>
      </c>
      <c r="H56" s="28">
        <v>2923</v>
      </c>
      <c r="I56" s="28">
        <v>2307</v>
      </c>
      <c r="J56" s="28">
        <v>1606</v>
      </c>
      <c r="K56" s="28">
        <v>1131</v>
      </c>
      <c r="L56" s="30">
        <v>723</v>
      </c>
      <c r="M56" s="30">
        <v>549</v>
      </c>
      <c r="N56" s="30">
        <v>411</v>
      </c>
      <c r="O56" s="2">
        <f t="shared" si="1"/>
        <v>18352</v>
      </c>
    </row>
    <row r="57" spans="2:15" ht="12.75">
      <c r="B57" s="2">
        <f>3.5*60</f>
        <v>210</v>
      </c>
      <c r="C57" s="37" t="s">
        <v>113</v>
      </c>
      <c r="D57" s="38"/>
      <c r="E57" s="38"/>
      <c r="F57" s="38"/>
      <c r="G57" s="38"/>
      <c r="H57" s="38"/>
      <c r="I57" s="38"/>
      <c r="J57" s="38"/>
      <c r="K57" s="38"/>
      <c r="L57" s="38"/>
      <c r="M57" s="38"/>
      <c r="N57" s="39"/>
    </row>
    <row r="58" spans="2:15" ht="12.75">
      <c r="B58" s="2">
        <f>210*0.624</f>
        <v>131.04</v>
      </c>
      <c r="C58" s="27" t="s">
        <v>109</v>
      </c>
      <c r="D58" s="28">
        <v>10586</v>
      </c>
      <c r="E58" s="28">
        <v>16734</v>
      </c>
      <c r="F58" s="28">
        <v>23810</v>
      </c>
      <c r="G58" s="28">
        <v>25688</v>
      </c>
      <c r="H58" s="28">
        <v>18558</v>
      </c>
      <c r="I58" s="28">
        <v>13041</v>
      </c>
      <c r="J58" s="28">
        <v>9391</v>
      </c>
      <c r="K58" s="28">
        <v>6940</v>
      </c>
      <c r="L58" s="28">
        <v>4717</v>
      </c>
      <c r="M58" s="28">
        <v>2524</v>
      </c>
      <c r="N58" s="28">
        <v>1345</v>
      </c>
      <c r="O58" s="29">
        <f t="shared" ref="O58:O59" si="2">SUM(D58:N58)</f>
        <v>133334</v>
      </c>
    </row>
    <row r="59" spans="2:15" ht="12.75">
      <c r="C59" s="27" t="s">
        <v>110</v>
      </c>
      <c r="D59" s="28">
        <v>11538</v>
      </c>
      <c r="E59" s="28">
        <v>24602</v>
      </c>
      <c r="F59" s="28">
        <v>40293</v>
      </c>
      <c r="G59" s="28">
        <v>40965</v>
      </c>
      <c r="H59" s="28">
        <v>31645</v>
      </c>
      <c r="I59" s="28">
        <v>25101</v>
      </c>
      <c r="J59" s="28">
        <v>18548</v>
      </c>
      <c r="K59" s="28">
        <v>13376</v>
      </c>
      <c r="L59" s="28">
        <v>8715</v>
      </c>
      <c r="M59" s="28">
        <v>5031</v>
      </c>
      <c r="N59" s="28">
        <v>3131</v>
      </c>
      <c r="O59" s="29">
        <f t="shared" si="2"/>
        <v>222945</v>
      </c>
    </row>
    <row r="60" spans="2:15" ht="12.75">
      <c r="B60" s="2"/>
      <c r="C60" s="37" t="s">
        <v>114</v>
      </c>
      <c r="D60" s="38"/>
      <c r="E60" s="38"/>
      <c r="F60" s="38"/>
      <c r="G60" s="38"/>
      <c r="H60" s="38"/>
      <c r="I60" s="38"/>
      <c r="J60" s="38"/>
      <c r="K60" s="38"/>
      <c r="L60" s="38"/>
      <c r="M60" s="38"/>
      <c r="N60" s="39"/>
    </row>
    <row r="61" spans="2:15" ht="12.75">
      <c r="C61" s="27" t="s">
        <v>109</v>
      </c>
      <c r="D61" s="28">
        <v>33820</v>
      </c>
      <c r="E61" s="28">
        <v>59211</v>
      </c>
      <c r="F61" s="28">
        <v>86057</v>
      </c>
      <c r="G61" s="28">
        <v>91577</v>
      </c>
      <c r="H61" s="28">
        <v>80280</v>
      </c>
      <c r="I61" s="28">
        <v>72835</v>
      </c>
      <c r="J61" s="28">
        <v>54238</v>
      </c>
      <c r="K61" s="28">
        <v>37749</v>
      </c>
      <c r="L61" s="28">
        <v>25081</v>
      </c>
      <c r="M61" s="28">
        <v>15690</v>
      </c>
      <c r="N61" s="28">
        <v>9586</v>
      </c>
      <c r="O61" s="29">
        <f t="shared" ref="O61:O62" si="3">SUM(D61:N61)</f>
        <v>566124</v>
      </c>
    </row>
    <row r="62" spans="2:15" ht="12.75">
      <c r="C62" s="27" t="s">
        <v>110</v>
      </c>
      <c r="D62" s="28">
        <v>34259</v>
      </c>
      <c r="E62" s="28">
        <v>63309</v>
      </c>
      <c r="F62" s="28">
        <v>99123</v>
      </c>
      <c r="G62" s="28">
        <v>104501</v>
      </c>
      <c r="H62" s="28">
        <v>95089</v>
      </c>
      <c r="I62" s="28">
        <v>89224</v>
      </c>
      <c r="J62" s="28">
        <v>69857</v>
      </c>
      <c r="K62" s="28">
        <v>54349</v>
      </c>
      <c r="L62" s="28">
        <v>40102</v>
      </c>
      <c r="M62" s="28">
        <v>27402</v>
      </c>
      <c r="N62" s="28">
        <v>19305</v>
      </c>
      <c r="O62" s="29">
        <f t="shared" si="3"/>
        <v>696520</v>
      </c>
    </row>
    <row r="63" spans="2:15" ht="14.25">
      <c r="C63" s="15"/>
      <c r="D63" s="31">
        <f>D62/O62</f>
        <v>4.9185953023603055E-2</v>
      </c>
      <c r="E63" s="31">
        <f>E62/O62</f>
        <v>9.0893298110607021E-2</v>
      </c>
      <c r="F63" s="31">
        <f>F62/O62</f>
        <v>0.14231177855625107</v>
      </c>
      <c r="G63" s="31">
        <f>G62/O62</f>
        <v>0.15003302130592086</v>
      </c>
      <c r="H63" s="31">
        <f>H62/O62</f>
        <v>0.1365201286395222</v>
      </c>
      <c r="I63" s="31">
        <f>I62/O62</f>
        <v>0.12809969562970194</v>
      </c>
      <c r="J63" s="31">
        <f>J62/O62</f>
        <v>0.10029432033538162</v>
      </c>
      <c r="K63" s="31">
        <f>K62/O62</f>
        <v>7.8029345891000981E-2</v>
      </c>
      <c r="L63" s="31">
        <f>L62/O62</f>
        <v>5.757480043645552E-2</v>
      </c>
      <c r="M63" s="31">
        <f>M62/O62</f>
        <v>3.934129673232642E-2</v>
      </c>
      <c r="N63" s="31">
        <f>N62/O62</f>
        <v>2.7716361339229313E-2</v>
      </c>
      <c r="O63" s="29">
        <f>SUM(O51:O62)</f>
        <v>31187117</v>
      </c>
    </row>
    <row r="64" spans="2:15" ht="14.25">
      <c r="C64" s="32" t="s">
        <v>115</v>
      </c>
      <c r="D64" s="31">
        <f t="shared" ref="D64:N64" si="4">54754*D63*D62/(D61+D62)</f>
        <v>1355.2470058323208</v>
      </c>
      <c r="E64" s="31">
        <f t="shared" si="4"/>
        <v>2571.6163569814098</v>
      </c>
      <c r="F64" s="31">
        <f t="shared" si="4"/>
        <v>4170.9699011554467</v>
      </c>
      <c r="G64" s="31">
        <f t="shared" si="4"/>
        <v>4378.1867725349994</v>
      </c>
      <c r="H64" s="31">
        <f t="shared" si="4"/>
        <v>4053.1249752988952</v>
      </c>
      <c r="I64" s="31">
        <f t="shared" si="4"/>
        <v>3861.6462203012743</v>
      </c>
      <c r="J64" s="31">
        <f t="shared" si="4"/>
        <v>3091.3475838608074</v>
      </c>
      <c r="K64" s="31">
        <f t="shared" si="4"/>
        <v>2521.2457342002267</v>
      </c>
      <c r="L64" s="31">
        <f t="shared" si="4"/>
        <v>1939.456221521921</v>
      </c>
      <c r="M64" s="31">
        <f t="shared" si="4"/>
        <v>1369.7778308234451</v>
      </c>
      <c r="N64" s="31">
        <f t="shared" si="4"/>
        <v>1014.0498331476709</v>
      </c>
      <c r="O64" s="2">
        <f t="shared" ref="O64:O65" si="5">D64+E64+F64+G64+H64+I64+J64+K64+L64+M64+N64</f>
        <v>30326.668435658412</v>
      </c>
    </row>
    <row r="65" spans="3:15" ht="12.75">
      <c r="C65" s="33" t="s">
        <v>116</v>
      </c>
      <c r="D65" s="34">
        <f>D61/O61*54754*D61/(D61+D62)</f>
        <v>1624.9437199311956</v>
      </c>
      <c r="E65" s="34">
        <f>E61/O61*54754*E61/(E61+E62)</f>
        <v>2767.5921405287381</v>
      </c>
      <c r="F65" s="34">
        <f>F61/O61*54754*F61/(F61+F62)</f>
        <v>3867.9656604432803</v>
      </c>
      <c r="G65" s="34">
        <f>G61/O61*54754*G61/(G61+G62)</f>
        <v>4136.6448954753323</v>
      </c>
      <c r="H65" s="34">
        <f>H61/O61*54754*H61/(H61+H62)</f>
        <v>3554.3990747525031</v>
      </c>
      <c r="I65" s="34">
        <f>I61/O61*54754*I61/(I61+I62)</f>
        <v>3166.0034186224998</v>
      </c>
      <c r="J65" s="34">
        <f>J61/O61*54754*J61/(J61+J62)</f>
        <v>2292.7533422196016</v>
      </c>
      <c r="K65" s="34">
        <f>K61/O61*54754*K61/(K61+K62)</f>
        <v>1496.4595720816319</v>
      </c>
      <c r="L65" s="34">
        <f>L61/O61*54754*L61/(L61+L62)</f>
        <v>933.38246287818322</v>
      </c>
      <c r="M65" s="34">
        <f>M61/O61*54754*M61/(M61+M62)</f>
        <v>552.52702009656218</v>
      </c>
      <c r="N65" s="34">
        <f>N61/O61*54754*N61/(N61+N62)</f>
        <v>307.62141118203044</v>
      </c>
      <c r="O65" s="2">
        <f t="shared" si="5"/>
        <v>24700.292718211556</v>
      </c>
    </row>
    <row r="66" spans="3:15" ht="14.25">
      <c r="C66" s="40" t="s">
        <v>117</v>
      </c>
      <c r="D66" s="41"/>
      <c r="E66" s="41"/>
      <c r="F66" s="15"/>
      <c r="G66" s="15"/>
      <c r="H66" s="15"/>
      <c r="I66" s="15"/>
      <c r="J66" s="15"/>
      <c r="K66" s="15"/>
      <c r="L66" s="15"/>
      <c r="M66" s="15"/>
      <c r="N66" s="15"/>
      <c r="O66" s="2">
        <f>O64+O65</f>
        <v>55026.961153869968</v>
      </c>
    </row>
    <row r="67" spans="3:15" ht="14.25">
      <c r="C67" s="40" t="s">
        <v>118</v>
      </c>
      <c r="D67" s="41"/>
      <c r="E67" s="41"/>
      <c r="F67" s="41"/>
      <c r="G67" s="41"/>
      <c r="H67" s="15"/>
      <c r="I67" s="15"/>
      <c r="J67" s="15"/>
      <c r="K67" s="15"/>
      <c r="L67" s="15"/>
      <c r="M67" s="15"/>
      <c r="N67" s="15"/>
    </row>
    <row r="68" spans="3:15" ht="14.25">
      <c r="C68" s="40" t="s">
        <v>119</v>
      </c>
      <c r="D68" s="41"/>
      <c r="E68" s="15"/>
      <c r="F68" s="15"/>
      <c r="G68" s="15"/>
      <c r="H68" s="15"/>
      <c r="I68" s="15"/>
      <c r="J68" s="15"/>
      <c r="K68" s="15"/>
      <c r="L68" s="15"/>
      <c r="M68" s="15"/>
      <c r="N68" s="15"/>
    </row>
    <row r="69" spans="3:15" ht="14.25">
      <c r="C69" s="15"/>
      <c r="D69" s="15"/>
      <c r="E69" s="15"/>
      <c r="F69" s="15"/>
      <c r="G69" s="15"/>
      <c r="H69" s="15"/>
      <c r="I69" s="15"/>
      <c r="J69" s="15"/>
      <c r="K69" s="15"/>
      <c r="L69" s="15"/>
      <c r="M69" s="15"/>
      <c r="N69" s="15"/>
    </row>
    <row r="70" spans="3:15" ht="14.25">
      <c r="C70" s="33" t="s">
        <v>120</v>
      </c>
      <c r="D70" s="15"/>
      <c r="E70" s="15"/>
      <c r="F70" s="15"/>
      <c r="G70" s="15"/>
      <c r="H70" s="15"/>
      <c r="I70" s="15"/>
      <c r="J70" s="15"/>
      <c r="K70" s="15"/>
      <c r="L70" s="15"/>
      <c r="M70" s="15"/>
      <c r="N70" s="15"/>
    </row>
    <row r="71" spans="3:15" ht="14.25">
      <c r="C71" s="15" t="s">
        <v>121</v>
      </c>
      <c r="D71" s="15"/>
      <c r="E71" s="15"/>
      <c r="F71" s="15"/>
      <c r="G71" s="15"/>
      <c r="H71" s="15"/>
      <c r="I71" s="15"/>
      <c r="J71" s="15"/>
      <c r="K71" s="15"/>
      <c r="L71" s="15"/>
      <c r="M71" s="15"/>
      <c r="N71" s="15"/>
    </row>
  </sheetData>
  <mergeCells count="7">
    <mergeCell ref="C67:G67"/>
    <mergeCell ref="C68:D68"/>
    <mergeCell ref="C51:N51"/>
    <mergeCell ref="C54:N54"/>
    <mergeCell ref="C57:N57"/>
    <mergeCell ref="C60:N60"/>
    <mergeCell ref="C66:E66"/>
  </mergeCells>
  <hyperlinks>
    <hyperlink ref="C5" r:id="rId1" xr:uid="{00000000-0004-0000-0000-000000000000}"/>
    <hyperlink ref="C10" r:id="rId2" xr:uid="{00000000-0004-0000-0000-000001000000}"/>
    <hyperlink ref="C11" r:id="rId3" location="_tabs-tabla" xr:uid="{00000000-0004-0000-0000-000002000000}"/>
    <hyperlink ref="C17" r:id="rId4" xr:uid="{00000000-0004-0000-0000-000003000000}"/>
    <hyperlink ref="C18" r:id="rId5" xr:uid="{00000000-0004-0000-0000-000004000000}"/>
    <hyperlink ref="C25"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70"/>
  <sheetViews>
    <sheetView tabSelected="1" workbookViewId="0">
      <selection activeCell="C64" sqref="C64"/>
    </sheetView>
  </sheetViews>
  <sheetFormatPr baseColWidth="10" defaultColWidth="12.5703125" defaultRowHeight="15.75" customHeight="1"/>
  <cols>
    <col min="3" max="3" width="14.5703125" customWidth="1"/>
  </cols>
  <sheetData>
    <row r="1" spans="1:8">
      <c r="A1" s="2" t="s">
        <v>122</v>
      </c>
    </row>
    <row r="2" spans="1:8">
      <c r="A2" s="2" t="s">
        <v>123</v>
      </c>
    </row>
    <row r="3" spans="1:8">
      <c r="A3" s="35">
        <v>0.64</v>
      </c>
    </row>
    <row r="4" spans="1:8">
      <c r="A4" s="35">
        <v>0.31</v>
      </c>
    </row>
    <row r="5" spans="1:8">
      <c r="A5" s="35">
        <v>0.02</v>
      </c>
    </row>
    <row r="6" spans="1:8">
      <c r="A6" s="35">
        <v>0.01</v>
      </c>
    </row>
    <row r="7" spans="1:8">
      <c r="A7" s="2" t="s">
        <v>144</v>
      </c>
      <c r="F7" s="44" t="s">
        <v>145</v>
      </c>
      <c r="G7" s="44" t="s">
        <v>149</v>
      </c>
      <c r="H7" s="44" t="s">
        <v>150</v>
      </c>
    </row>
    <row r="8" spans="1:8">
      <c r="A8" s="2" t="s">
        <v>124</v>
      </c>
      <c r="B8" s="2" t="s">
        <v>125</v>
      </c>
      <c r="C8" s="2" t="s">
        <v>126</v>
      </c>
      <c r="D8" s="2" t="s">
        <v>127</v>
      </c>
      <c r="F8" s="43"/>
    </row>
    <row r="9" spans="1:8">
      <c r="A9" s="2" t="s">
        <v>128</v>
      </c>
      <c r="B9" s="36">
        <v>131</v>
      </c>
      <c r="C9" s="2" t="s">
        <v>129</v>
      </c>
      <c r="D9" s="36">
        <v>0</v>
      </c>
      <c r="E9" s="2" t="s">
        <v>130</v>
      </c>
      <c r="F9">
        <v>131</v>
      </c>
    </row>
    <row r="10" spans="1:8">
      <c r="A10" s="2" t="s">
        <v>57</v>
      </c>
      <c r="B10" s="2">
        <v>10</v>
      </c>
      <c r="C10" s="2">
        <v>2</v>
      </c>
      <c r="D10" s="2">
        <f t="shared" ref="D10:D12" si="0">B10*C10</f>
        <v>20</v>
      </c>
    </row>
    <row r="11" spans="1:8">
      <c r="A11" s="2" t="s">
        <v>60</v>
      </c>
      <c r="B11" s="2">
        <v>20</v>
      </c>
      <c r="C11" s="2">
        <v>2</v>
      </c>
      <c r="D11" s="2">
        <f t="shared" si="0"/>
        <v>40</v>
      </c>
    </row>
    <row r="12" spans="1:8">
      <c r="A12" s="2" t="s">
        <v>62</v>
      </c>
      <c r="B12" s="2">
        <v>40</v>
      </c>
      <c r="C12" s="2">
        <v>1</v>
      </c>
      <c r="D12" s="2">
        <f t="shared" si="0"/>
        <v>40</v>
      </c>
    </row>
    <row r="13" spans="1:8">
      <c r="A13" s="2" t="s">
        <v>64</v>
      </c>
      <c r="B13" s="2">
        <v>100</v>
      </c>
      <c r="C13" s="2" t="s">
        <v>146</v>
      </c>
      <c r="D13" s="2">
        <f>B13*20/5/20</f>
        <v>20</v>
      </c>
      <c r="F13">
        <v>100</v>
      </c>
    </row>
    <row r="14" spans="1:8">
      <c r="A14" s="2" t="s">
        <v>66</v>
      </c>
      <c r="B14" s="2">
        <v>20</v>
      </c>
      <c r="C14" s="42" t="s">
        <v>147</v>
      </c>
      <c r="D14" s="2">
        <f>B14*1</f>
        <v>20</v>
      </c>
      <c r="F14">
        <v>80</v>
      </c>
      <c r="H14">
        <v>40</v>
      </c>
    </row>
    <row r="15" spans="1:8">
      <c r="A15" s="2" t="s">
        <v>69</v>
      </c>
      <c r="B15" s="2">
        <v>44.26</v>
      </c>
      <c r="C15" s="42" t="s">
        <v>147</v>
      </c>
      <c r="D15" s="2">
        <f>B15*1</f>
        <v>44.26</v>
      </c>
      <c r="F15">
        <f>B15*2</f>
        <v>88.52</v>
      </c>
      <c r="H15">
        <v>88.52</v>
      </c>
    </row>
    <row r="16" spans="1:8">
      <c r="A16" s="2" t="s">
        <v>71</v>
      </c>
      <c r="B16" s="2">
        <v>6000</v>
      </c>
      <c r="C16" s="2">
        <v>0</v>
      </c>
      <c r="D16" s="2">
        <v>0</v>
      </c>
    </row>
    <row r="17" spans="1:9">
      <c r="A17" s="2" t="s">
        <v>74</v>
      </c>
      <c r="B17" s="2">
        <v>100000</v>
      </c>
      <c r="C17" s="2">
        <v>0</v>
      </c>
      <c r="D17" s="2">
        <f t="shared" ref="D17:D22" si="1">B17*C17</f>
        <v>0</v>
      </c>
    </row>
    <row r="18" spans="1:9">
      <c r="A18" s="2" t="s">
        <v>77</v>
      </c>
      <c r="B18" s="2">
        <v>25000</v>
      </c>
      <c r="C18" s="2">
        <v>0</v>
      </c>
      <c r="D18" s="2">
        <f t="shared" si="1"/>
        <v>0</v>
      </c>
    </row>
    <row r="19" spans="1:9">
      <c r="A19" s="2" t="s">
        <v>80</v>
      </c>
      <c r="B19" s="2">
        <v>60000</v>
      </c>
      <c r="C19" s="2">
        <v>0</v>
      </c>
      <c r="D19" s="2">
        <f t="shared" si="1"/>
        <v>0</v>
      </c>
    </row>
    <row r="20" spans="1:9">
      <c r="A20" s="2" t="s">
        <v>82</v>
      </c>
      <c r="B20" s="2">
        <v>80</v>
      </c>
      <c r="C20" s="43" t="s">
        <v>129</v>
      </c>
      <c r="D20" s="2">
        <v>0</v>
      </c>
      <c r="F20">
        <v>80</v>
      </c>
    </row>
    <row r="21" spans="1:9">
      <c r="A21" s="2" t="s">
        <v>84</v>
      </c>
      <c r="B21" s="2">
        <v>90</v>
      </c>
      <c r="C21" s="43" t="s">
        <v>129</v>
      </c>
      <c r="D21" s="2">
        <v>0</v>
      </c>
      <c r="F21">
        <v>90</v>
      </c>
    </row>
    <row r="22" spans="1:9">
      <c r="A22" s="2" t="s">
        <v>86</v>
      </c>
      <c r="B22" s="2">
        <v>150</v>
      </c>
      <c r="C22" s="2">
        <v>0</v>
      </c>
      <c r="D22" s="2">
        <f t="shared" si="1"/>
        <v>0</v>
      </c>
    </row>
    <row r="23" spans="1:9">
      <c r="A23" s="2" t="s">
        <v>131</v>
      </c>
      <c r="B23" s="2">
        <v>98</v>
      </c>
      <c r="C23" s="43" t="s">
        <v>148</v>
      </c>
      <c r="D23" s="2">
        <f>B23*2</f>
        <v>196</v>
      </c>
      <c r="F23">
        <f>B23*4</f>
        <v>392</v>
      </c>
    </row>
    <row r="24" spans="1:9">
      <c r="A24" s="43" t="s">
        <v>151</v>
      </c>
      <c r="B24" s="45">
        <v>3.76</v>
      </c>
      <c r="C24">
        <v>0</v>
      </c>
      <c r="D24" s="2">
        <v>0</v>
      </c>
      <c r="F24" s="46">
        <f>0.34*B24</f>
        <v>1.2784</v>
      </c>
    </row>
    <row r="25" spans="1:9">
      <c r="A25" s="43" t="s">
        <v>153</v>
      </c>
      <c r="B25" s="45">
        <v>5.82</v>
      </c>
      <c r="C25">
        <v>0</v>
      </c>
      <c r="D25" s="2">
        <v>0</v>
      </c>
      <c r="F25" s="46">
        <f>0.34*B25</f>
        <v>1.9788000000000003</v>
      </c>
    </row>
    <row r="26" spans="1:9">
      <c r="A26" s="43" t="s">
        <v>152</v>
      </c>
      <c r="B26" s="45">
        <v>2</v>
      </c>
      <c r="C26" s="43">
        <v>0</v>
      </c>
      <c r="D26" s="2">
        <v>0</v>
      </c>
      <c r="F26" s="46">
        <f>B26*0.13</f>
        <v>0.26</v>
      </c>
    </row>
    <row r="27" spans="1:9">
      <c r="A27" s="43" t="s">
        <v>154</v>
      </c>
      <c r="B27" s="45">
        <v>9.8000000000000007</v>
      </c>
      <c r="C27" s="43">
        <v>0</v>
      </c>
      <c r="D27" s="2">
        <v>0</v>
      </c>
      <c r="F27" s="47">
        <f>B27*0.105</f>
        <v>1.0290000000000001</v>
      </c>
    </row>
    <row r="28" spans="1:9">
      <c r="A28" s="2" t="s">
        <v>132</v>
      </c>
      <c r="D28" s="2">
        <f>SUM(D10:D23)</f>
        <v>380.26</v>
      </c>
      <c r="F28" s="47">
        <f>F9+F13+F14+F15+F20+F21+F23+F24+F25+F26+F27</f>
        <v>966.06619999999998</v>
      </c>
      <c r="G28">
        <f>D28+F28</f>
        <v>1346.3262</v>
      </c>
      <c r="H28">
        <f>H14+H15</f>
        <v>128.51999999999998</v>
      </c>
      <c r="I28">
        <f>D28+H28</f>
        <v>508.78</v>
      </c>
    </row>
    <row r="30" spans="1:9">
      <c r="A30" s="2" t="s">
        <v>133</v>
      </c>
    </row>
    <row r="31" spans="1:9">
      <c r="A31" s="2" t="s">
        <v>57</v>
      </c>
      <c r="B31" s="2">
        <v>10</v>
      </c>
      <c r="C31" s="2">
        <v>2</v>
      </c>
      <c r="D31" s="2">
        <f t="shared" ref="D31:D49" si="2">B31*C31</f>
        <v>20</v>
      </c>
    </row>
    <row r="32" spans="1:9">
      <c r="A32" s="2" t="s">
        <v>60</v>
      </c>
      <c r="B32" s="2">
        <v>20</v>
      </c>
      <c r="C32" s="2">
        <v>2</v>
      </c>
      <c r="D32" s="2">
        <f t="shared" si="2"/>
        <v>40</v>
      </c>
    </row>
    <row r="33" spans="1:4">
      <c r="A33" s="2" t="s">
        <v>62</v>
      </c>
      <c r="B33" s="2">
        <v>40</v>
      </c>
      <c r="C33" s="2">
        <v>2</v>
      </c>
      <c r="D33" s="2">
        <f t="shared" si="2"/>
        <v>80</v>
      </c>
    </row>
    <row r="34" spans="1:4">
      <c r="A34" s="2" t="s">
        <v>64</v>
      </c>
      <c r="B34" s="2">
        <v>100</v>
      </c>
      <c r="C34" s="2">
        <v>1</v>
      </c>
      <c r="D34" s="2">
        <f t="shared" si="2"/>
        <v>100</v>
      </c>
    </row>
    <row r="35" spans="1:4">
      <c r="A35" s="2" t="s">
        <v>66</v>
      </c>
      <c r="B35" s="2">
        <v>20</v>
      </c>
      <c r="C35" s="2">
        <v>1</v>
      </c>
      <c r="D35" s="2">
        <f t="shared" si="2"/>
        <v>20</v>
      </c>
    </row>
    <row r="36" spans="1:4">
      <c r="A36" s="2" t="s">
        <v>69</v>
      </c>
      <c r="B36" s="2">
        <v>44.26</v>
      </c>
      <c r="C36" s="2">
        <v>1</v>
      </c>
      <c r="D36" s="2">
        <f t="shared" si="2"/>
        <v>44.26</v>
      </c>
    </row>
    <row r="37" spans="1:4">
      <c r="A37" s="2" t="s">
        <v>71</v>
      </c>
      <c r="B37" s="2">
        <v>6000</v>
      </c>
      <c r="C37" s="2">
        <v>0.02</v>
      </c>
      <c r="D37" s="2">
        <f t="shared" si="2"/>
        <v>120</v>
      </c>
    </row>
    <row r="38" spans="1:4">
      <c r="A38" s="2" t="s">
        <v>74</v>
      </c>
      <c r="B38" s="2">
        <v>100000</v>
      </c>
      <c r="C38" s="2">
        <v>0.01</v>
      </c>
      <c r="D38" s="2">
        <f t="shared" si="2"/>
        <v>1000</v>
      </c>
    </row>
    <row r="39" spans="1:4">
      <c r="A39" s="2" t="s">
        <v>77</v>
      </c>
      <c r="B39" s="2">
        <v>25000</v>
      </c>
      <c r="C39" s="2">
        <v>0.03</v>
      </c>
      <c r="D39" s="2">
        <f t="shared" si="2"/>
        <v>750</v>
      </c>
    </row>
    <row r="40" spans="1:4">
      <c r="A40" s="2" t="s">
        <v>80</v>
      </c>
      <c r="B40" s="2">
        <v>60000</v>
      </c>
      <c r="C40" s="2">
        <v>0</v>
      </c>
      <c r="D40" s="2">
        <f t="shared" si="2"/>
        <v>0</v>
      </c>
    </row>
    <row r="41" spans="1:4">
      <c r="A41" s="2" t="s">
        <v>82</v>
      </c>
      <c r="B41" s="2">
        <v>80</v>
      </c>
      <c r="C41" s="2">
        <v>0</v>
      </c>
      <c r="D41" s="2">
        <f t="shared" si="2"/>
        <v>0</v>
      </c>
    </row>
    <row r="42" spans="1:4">
      <c r="A42" s="2" t="s">
        <v>84</v>
      </c>
      <c r="B42" s="2">
        <v>90</v>
      </c>
      <c r="C42" s="2">
        <v>0</v>
      </c>
      <c r="D42" s="2">
        <f t="shared" si="2"/>
        <v>0</v>
      </c>
    </row>
    <row r="43" spans="1:4">
      <c r="A43" s="2" t="s">
        <v>86</v>
      </c>
      <c r="B43" s="2">
        <v>150</v>
      </c>
      <c r="C43" s="2">
        <v>0</v>
      </c>
      <c r="D43" s="2">
        <f t="shared" si="2"/>
        <v>0</v>
      </c>
    </row>
    <row r="44" spans="1:4">
      <c r="A44" s="2" t="s">
        <v>131</v>
      </c>
      <c r="B44" s="2">
        <v>98</v>
      </c>
      <c r="C44" s="2">
        <v>2</v>
      </c>
      <c r="D44" s="2">
        <f t="shared" si="2"/>
        <v>196</v>
      </c>
    </row>
    <row r="45" spans="1:4">
      <c r="A45" s="2" t="s">
        <v>134</v>
      </c>
      <c r="B45" s="2">
        <v>705.21</v>
      </c>
      <c r="C45" s="2">
        <v>12</v>
      </c>
      <c r="D45" s="2">
        <f t="shared" si="2"/>
        <v>8462.52</v>
      </c>
    </row>
    <row r="46" spans="1:4">
      <c r="A46" s="2" t="s">
        <v>135</v>
      </c>
      <c r="B46" s="2">
        <v>5.93</v>
      </c>
      <c r="C46" s="2">
        <v>12</v>
      </c>
      <c r="D46" s="2">
        <f t="shared" si="2"/>
        <v>71.16</v>
      </c>
    </row>
    <row r="47" spans="1:4">
      <c r="A47" s="2" t="s">
        <v>136</v>
      </c>
      <c r="B47" s="2">
        <v>46.02</v>
      </c>
      <c r="C47" s="2">
        <v>12</v>
      </c>
      <c r="D47" s="2">
        <f t="shared" si="2"/>
        <v>552.24</v>
      </c>
    </row>
    <row r="48" spans="1:4">
      <c r="A48" s="2" t="s">
        <v>137</v>
      </c>
      <c r="B48" s="2">
        <v>2.25</v>
      </c>
      <c r="C48" s="2">
        <v>12</v>
      </c>
      <c r="D48" s="2">
        <f t="shared" si="2"/>
        <v>27</v>
      </c>
    </row>
    <row r="49" spans="1:5">
      <c r="A49" s="2" t="s">
        <v>138</v>
      </c>
      <c r="B49" s="2">
        <v>2727.32</v>
      </c>
      <c r="C49" s="2">
        <v>0.04</v>
      </c>
      <c r="D49" s="2">
        <f t="shared" si="2"/>
        <v>109.09280000000001</v>
      </c>
      <c r="E49" s="2" t="s">
        <v>139</v>
      </c>
    </row>
    <row r="50" spans="1:5">
      <c r="A50" s="2" t="s">
        <v>132</v>
      </c>
      <c r="D50" s="2">
        <f>SUM(D31:D49)</f>
        <v>11592.272800000001</v>
      </c>
    </row>
    <row r="52" spans="1:5">
      <c r="A52" s="2" t="s">
        <v>140</v>
      </c>
    </row>
    <row r="53" spans="1:5">
      <c r="A53" s="2" t="s">
        <v>57</v>
      </c>
      <c r="B53" s="2">
        <v>10</v>
      </c>
      <c r="C53" s="2">
        <v>2</v>
      </c>
      <c r="D53" s="2">
        <f t="shared" ref="D53:D69" si="3">B53*C53</f>
        <v>20</v>
      </c>
    </row>
    <row r="54" spans="1:5">
      <c r="A54" s="2" t="s">
        <v>60</v>
      </c>
      <c r="B54" s="2">
        <v>20</v>
      </c>
      <c r="C54" s="2">
        <v>2</v>
      </c>
      <c r="D54" s="2">
        <f t="shared" si="3"/>
        <v>40</v>
      </c>
    </row>
    <row r="55" spans="1:5">
      <c r="A55" s="2" t="s">
        <v>62</v>
      </c>
      <c r="B55" s="2">
        <v>40</v>
      </c>
      <c r="C55" s="2">
        <v>2</v>
      </c>
      <c r="D55" s="2">
        <f t="shared" si="3"/>
        <v>80</v>
      </c>
    </row>
    <row r="56" spans="1:5">
      <c r="A56" s="2" t="s">
        <v>64</v>
      </c>
      <c r="B56" s="2">
        <v>100</v>
      </c>
      <c r="C56" s="2">
        <v>0.2</v>
      </c>
      <c r="D56" s="2">
        <f t="shared" si="3"/>
        <v>20</v>
      </c>
    </row>
    <row r="57" spans="1:5">
      <c r="A57" s="2" t="s">
        <v>66</v>
      </c>
      <c r="B57" s="2">
        <v>20</v>
      </c>
      <c r="C57" s="2">
        <v>1</v>
      </c>
      <c r="D57" s="2">
        <f t="shared" si="3"/>
        <v>20</v>
      </c>
    </row>
    <row r="58" spans="1:5">
      <c r="A58" s="2" t="s">
        <v>69</v>
      </c>
      <c r="B58" s="2">
        <v>44.26</v>
      </c>
      <c r="C58" s="2">
        <v>1</v>
      </c>
      <c r="D58" s="2">
        <f t="shared" si="3"/>
        <v>44.26</v>
      </c>
    </row>
    <row r="59" spans="1:5">
      <c r="A59" s="2" t="s">
        <v>71</v>
      </c>
      <c r="B59" s="2">
        <v>6000</v>
      </c>
      <c r="C59" s="2">
        <v>0</v>
      </c>
      <c r="D59" s="2">
        <f t="shared" si="3"/>
        <v>0</v>
      </c>
    </row>
    <row r="60" spans="1:5">
      <c r="A60" s="2" t="s">
        <v>74</v>
      </c>
      <c r="B60" s="2">
        <v>100000</v>
      </c>
      <c r="C60" s="2">
        <v>0</v>
      </c>
      <c r="D60" s="2">
        <f t="shared" si="3"/>
        <v>0</v>
      </c>
    </row>
    <row r="61" spans="1:5">
      <c r="A61" s="2" t="s">
        <v>77</v>
      </c>
      <c r="B61" s="2">
        <v>25000</v>
      </c>
      <c r="C61" s="2">
        <v>0</v>
      </c>
      <c r="D61" s="2">
        <f t="shared" si="3"/>
        <v>0</v>
      </c>
    </row>
    <row r="62" spans="1:5">
      <c r="A62" s="2" t="s">
        <v>80</v>
      </c>
      <c r="B62" s="2">
        <v>60000</v>
      </c>
      <c r="C62" s="2">
        <v>0</v>
      </c>
      <c r="D62" s="2">
        <f t="shared" si="3"/>
        <v>0</v>
      </c>
    </row>
    <row r="63" spans="1:5">
      <c r="A63" s="2" t="s">
        <v>82</v>
      </c>
      <c r="B63" s="2">
        <v>80</v>
      </c>
      <c r="C63" s="2">
        <v>0.5</v>
      </c>
      <c r="D63" s="2">
        <f t="shared" si="3"/>
        <v>40</v>
      </c>
    </row>
    <row r="64" spans="1:5">
      <c r="A64" s="2" t="s">
        <v>84</v>
      </c>
      <c r="B64" s="2">
        <v>90</v>
      </c>
      <c r="C64" s="2">
        <v>0.5</v>
      </c>
      <c r="D64" s="2">
        <f t="shared" si="3"/>
        <v>45</v>
      </c>
    </row>
    <row r="65" spans="1:4">
      <c r="A65" s="2" t="s">
        <v>86</v>
      </c>
      <c r="B65" s="2">
        <v>150</v>
      </c>
      <c r="C65" s="2">
        <v>0.5</v>
      </c>
      <c r="D65" s="2">
        <f t="shared" si="3"/>
        <v>75</v>
      </c>
    </row>
    <row r="66" spans="1:4">
      <c r="A66" s="2" t="s">
        <v>141</v>
      </c>
      <c r="B66" s="2">
        <v>1955</v>
      </c>
      <c r="C66" s="2">
        <v>0.05</v>
      </c>
      <c r="D66" s="2">
        <f t="shared" si="3"/>
        <v>97.75</v>
      </c>
    </row>
    <row r="67" spans="1:4">
      <c r="A67" s="2" t="s">
        <v>142</v>
      </c>
      <c r="B67" s="2">
        <v>6277</v>
      </c>
      <c r="C67" s="2">
        <v>0.01</v>
      </c>
      <c r="D67" s="2">
        <f t="shared" si="3"/>
        <v>62.77</v>
      </c>
    </row>
    <row r="68" spans="1:4">
      <c r="A68" s="2" t="s">
        <v>143</v>
      </c>
      <c r="B68" s="2">
        <v>978</v>
      </c>
      <c r="C68" s="2">
        <v>0.01</v>
      </c>
      <c r="D68" s="2">
        <f t="shared" si="3"/>
        <v>9.7799999999999994</v>
      </c>
    </row>
    <row r="69" spans="1:4">
      <c r="A69" s="2" t="s">
        <v>131</v>
      </c>
      <c r="B69" s="2">
        <v>98</v>
      </c>
      <c r="C69" s="2">
        <v>2</v>
      </c>
      <c r="D69" s="2">
        <f t="shared" si="3"/>
        <v>196</v>
      </c>
    </row>
    <row r="70" spans="1:4">
      <c r="A70" s="2" t="s">
        <v>132</v>
      </c>
      <c r="D70" s="2">
        <f>SUM(D53:Z68)</f>
        <v>554.55999999999995</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Hoja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Philip Wikman</cp:lastModifiedBy>
  <dcterms:modified xsi:type="dcterms:W3CDTF">2025-07-23T07:40:07Z</dcterms:modified>
</cp:coreProperties>
</file>